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projets_de\projet_09\InduTechData\docs\"/>
    </mc:Choice>
  </mc:AlternateContent>
  <xr:revisionPtr revIDLastSave="0" documentId="13_ncr:1_{DC65E549-5EAD-48A3-9576-7308A1D72725}" xr6:coauthVersionLast="47" xr6:coauthVersionMax="47" xr10:uidLastSave="{00000000-0000-0000-0000-000000000000}"/>
  <bookViews>
    <workbookView xWindow="-120" yWindow="-120" windowWidth="29040" windowHeight="15720" xr2:uid="{F79BB199-3FCD-4386-BC54-81F281963A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11" i="1"/>
  <c r="F5" i="1"/>
  <c r="F6" i="1"/>
  <c r="F7" i="1"/>
  <c r="F8" i="1"/>
  <c r="F9" i="1"/>
  <c r="F3" i="1"/>
  <c r="F10" i="1" s="1"/>
</calcChain>
</file>

<file path=xl/sharedStrings.xml><?xml version="1.0" encoding="utf-8"?>
<sst xmlns="http://schemas.openxmlformats.org/spreadsheetml/2006/main" count="33" uniqueCount="27">
  <si>
    <t>Basé sur les volumes : 40 To (Data Warehouse), 10 To (Data Lake), 50 Go/mois (Ingestion).</t>
  </si>
  <si>
    <t>Service</t>
  </si>
  <si>
    <t>Coût Mensuel Approx.</t>
  </si>
  <si>
    <t>Type de coût</t>
  </si>
  <si>
    <t>Récurrent</t>
  </si>
  <si>
    <t>Amazon S3</t>
  </si>
  <si>
    <t>Récurrent (croissant)</t>
  </si>
  <si>
    <t>AWS DMS</t>
  </si>
  <si>
    <t>Stockage</t>
  </si>
  <si>
    <t>Compute</t>
  </si>
  <si>
    <t>2 × ra3.xlplus</t>
  </si>
  <si>
    <t>40 To</t>
  </si>
  <si>
    <t>Coût compute</t>
  </si>
  <si>
    <t>Coût stockage</t>
  </si>
  <si>
    <t>Redshift Spectrum</t>
  </si>
  <si>
    <t>50 To</t>
  </si>
  <si>
    <t>Ponctuel</t>
  </si>
  <si>
    <t>Redshift, transfert</t>
  </si>
  <si>
    <t>10To</t>
  </si>
  <si>
    <r>
      <t>3</t>
    </r>
    <r>
      <rPr>
        <sz val="14"/>
        <color rgb="FF0F141A"/>
        <rFont val="Calibri"/>
        <family val="2"/>
        <scheme val="minor"/>
      </rPr>
      <t xml:space="preserve"> × c5.large:</t>
    </r>
  </si>
  <si>
    <t>Load Balancer NLB pour EC2</t>
  </si>
  <si>
    <t>Redpanda (EC2) (1 an d'engagement)</t>
  </si>
  <si>
    <t>c7i.xlarge Single-AZ</t>
  </si>
  <si>
    <t xml:space="preserve"> 3 × EBS gp3 150Go</t>
  </si>
  <si>
    <t>100Go gp2</t>
  </si>
  <si>
    <t>VPN / Réseau (site-to-site, data transfert, gateway)</t>
  </si>
  <si>
    <t>Redshift (1 an d'engagement)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</si>
</sst>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8" x14ac:knownFonts="1">
    <font>
      <sz val="11"/>
      <color theme="1"/>
      <name val="Calibri"/>
      <family val="2"/>
      <scheme val="minor"/>
    </font>
    <font>
      <sz val="14"/>
      <color rgb="FF222222"/>
      <name val="Calibri"/>
      <family val="2"/>
      <scheme val="minor"/>
    </font>
    <font>
      <sz val="14"/>
      <color rgb="FF222222"/>
      <name val="Calibri"/>
      <family val="2"/>
      <scheme val="minor"/>
    </font>
    <font>
      <sz val="14"/>
      <color rgb="FF0F141A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4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6" fillId="0" borderId="2" applyNumberFormat="0" applyFill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left" vertical="top" wrapText="1" readingOrder="1"/>
    </xf>
    <xf numFmtId="0" fontId="1" fillId="0" borderId="1" xfId="0" applyFont="1" applyBorder="1" applyAlignment="1">
      <alignment horizontal="left" vertical="top" wrapText="1" readingOrder="1"/>
    </xf>
    <xf numFmtId="164" fontId="1" fillId="0" borderId="1" xfId="0" applyNumberFormat="1" applyFont="1" applyBorder="1" applyAlignment="1">
      <alignment horizontal="left" vertical="top" wrapText="1" readingOrder="1"/>
    </xf>
    <xf numFmtId="0" fontId="4" fillId="0" borderId="0" xfId="0" applyFont="1"/>
    <xf numFmtId="164" fontId="1" fillId="0" borderId="1" xfId="0" applyNumberFormat="1" applyFont="1" applyBorder="1" applyAlignment="1">
      <alignment horizontal="left" vertical="top" wrapText="1"/>
    </xf>
    <xf numFmtId="164" fontId="5" fillId="0" borderId="0" xfId="0" applyNumberFormat="1" applyFont="1"/>
    <xf numFmtId="0" fontId="7" fillId="0" borderId="1" xfId="0" applyFont="1" applyBorder="1" applyAlignment="1">
      <alignment horizontal="left" vertical="top" wrapText="1" readingOrder="1"/>
    </xf>
    <xf numFmtId="0" fontId="6" fillId="0" borderId="2" xfId="1" applyAlignment="1">
      <alignment horizontal="left" vertical="center"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4338F-6AAB-47FB-96D5-33C562503494}">
  <dimension ref="A1:G15"/>
  <sheetViews>
    <sheetView tabSelected="1" workbookViewId="0">
      <selection activeCell="G18" sqref="G18"/>
    </sheetView>
  </sheetViews>
  <sheetFormatPr defaultRowHeight="15" x14ac:dyDescent="0.25"/>
  <cols>
    <col min="1" max="1" width="66" customWidth="1"/>
    <col min="2" max="2" width="29.42578125" customWidth="1"/>
    <col min="3" max="3" width="22" customWidth="1"/>
    <col min="4" max="4" width="25.42578125" customWidth="1"/>
    <col min="5" max="5" width="27.140625" customWidth="1"/>
    <col min="6" max="6" width="26.5703125" bestFit="1" customWidth="1"/>
    <col min="7" max="7" width="30.28515625" customWidth="1"/>
  </cols>
  <sheetData>
    <row r="1" spans="1:7" ht="20.25" thickBot="1" x14ac:dyDescent="0.3">
      <c r="A1" s="8" t="s">
        <v>0</v>
      </c>
      <c r="B1" s="8"/>
      <c r="C1" s="8"/>
      <c r="D1" s="8"/>
      <c r="E1" s="8"/>
      <c r="F1" s="8"/>
      <c r="G1" s="8"/>
    </row>
    <row r="2" spans="1:7" ht="39" thickTop="1" thickBot="1" x14ac:dyDescent="0.3">
      <c r="A2" s="7" t="s">
        <v>1</v>
      </c>
      <c r="B2" s="7" t="s">
        <v>9</v>
      </c>
      <c r="C2" s="7" t="s">
        <v>12</v>
      </c>
      <c r="D2" s="7" t="s">
        <v>8</v>
      </c>
      <c r="E2" s="7" t="s">
        <v>13</v>
      </c>
      <c r="F2" s="7" t="s">
        <v>2</v>
      </c>
      <c r="G2" s="7" t="s">
        <v>3</v>
      </c>
    </row>
    <row r="3" spans="1:7" ht="19.5" thickBot="1" x14ac:dyDescent="0.3">
      <c r="A3" s="1" t="s">
        <v>26</v>
      </c>
      <c r="B3" s="2" t="s">
        <v>10</v>
      </c>
      <c r="C3" s="3">
        <v>1292</v>
      </c>
      <c r="D3" s="2" t="s">
        <v>11</v>
      </c>
      <c r="E3" s="3">
        <v>1024</v>
      </c>
      <c r="F3" s="5">
        <f>E3+C3</f>
        <v>2316</v>
      </c>
      <c r="G3" s="2" t="s">
        <v>4</v>
      </c>
    </row>
    <row r="4" spans="1:7" ht="19.5" thickBot="1" x14ac:dyDescent="0.3">
      <c r="A4" s="1" t="s">
        <v>14</v>
      </c>
      <c r="B4" s="2"/>
      <c r="C4" s="3"/>
      <c r="D4" s="2" t="s">
        <v>15</v>
      </c>
      <c r="E4" s="3">
        <v>275</v>
      </c>
      <c r="F4" s="5">
        <f t="shared" ref="F4:F9" si="0">E4+C4</f>
        <v>275</v>
      </c>
      <c r="G4" s="2" t="s">
        <v>4</v>
      </c>
    </row>
    <row r="5" spans="1:7" ht="19.5" thickBot="1" x14ac:dyDescent="0.3">
      <c r="A5" s="1" t="s">
        <v>5</v>
      </c>
      <c r="B5" s="2"/>
      <c r="C5" s="3"/>
      <c r="D5" s="2" t="s">
        <v>18</v>
      </c>
      <c r="E5" s="3">
        <v>246</v>
      </c>
      <c r="F5" s="5">
        <f t="shared" si="0"/>
        <v>246</v>
      </c>
      <c r="G5" s="2" t="s">
        <v>6</v>
      </c>
    </row>
    <row r="6" spans="1:7" ht="19.5" thickBot="1" x14ac:dyDescent="0.3">
      <c r="A6" s="1" t="s">
        <v>21</v>
      </c>
      <c r="B6" s="2" t="s">
        <v>19</v>
      </c>
      <c r="C6" s="3">
        <v>175</v>
      </c>
      <c r="D6" s="3" t="s">
        <v>23</v>
      </c>
      <c r="E6" s="3">
        <v>42</v>
      </c>
      <c r="F6" s="5">
        <f t="shared" si="0"/>
        <v>217</v>
      </c>
      <c r="G6" s="2" t="s">
        <v>4</v>
      </c>
    </row>
    <row r="7" spans="1:7" ht="19.5" thickBot="1" x14ac:dyDescent="0.3">
      <c r="A7" s="1" t="s">
        <v>20</v>
      </c>
      <c r="B7" s="2"/>
      <c r="C7" s="3">
        <v>25</v>
      </c>
      <c r="D7" s="2"/>
      <c r="E7" s="3"/>
      <c r="F7" s="5">
        <f t="shared" si="0"/>
        <v>25</v>
      </c>
      <c r="G7" s="2" t="s">
        <v>4</v>
      </c>
    </row>
    <row r="8" spans="1:7" ht="19.5" thickBot="1" x14ac:dyDescent="0.3">
      <c r="A8" s="1" t="s">
        <v>7</v>
      </c>
      <c r="B8" s="2" t="s">
        <v>22</v>
      </c>
      <c r="C8" s="3">
        <v>270</v>
      </c>
      <c r="D8" s="2" t="s">
        <v>24</v>
      </c>
      <c r="E8" s="3">
        <v>12</v>
      </c>
      <c r="F8" s="5">
        <f t="shared" si="0"/>
        <v>282</v>
      </c>
      <c r="G8" s="2" t="s">
        <v>4</v>
      </c>
    </row>
    <row r="9" spans="1:7" ht="19.5" thickBot="1" x14ac:dyDescent="0.3">
      <c r="A9" s="1" t="s">
        <v>25</v>
      </c>
      <c r="B9" s="2"/>
      <c r="C9" s="3">
        <v>95</v>
      </c>
      <c r="D9" s="2"/>
      <c r="E9" s="3"/>
      <c r="F9" s="5">
        <f t="shared" si="0"/>
        <v>95</v>
      </c>
      <c r="G9" s="2" t="s">
        <v>4</v>
      </c>
    </row>
    <row r="10" spans="1:7" ht="19.5" thickBot="1" x14ac:dyDescent="0.35">
      <c r="A10" s="4"/>
      <c r="B10" s="4"/>
      <c r="C10" s="4"/>
      <c r="D10" s="4"/>
      <c r="E10" s="4"/>
      <c r="F10" s="6">
        <f>SUM(F3:F9)</f>
        <v>3456</v>
      </c>
      <c r="G10" s="4"/>
    </row>
    <row r="11" spans="1:7" ht="19.5" thickBot="1" x14ac:dyDescent="0.35">
      <c r="A11" s="1" t="s">
        <v>17</v>
      </c>
      <c r="B11" s="4"/>
      <c r="C11" s="4"/>
      <c r="D11" s="4" t="s">
        <v>11</v>
      </c>
      <c r="E11" s="3">
        <v>819.2</v>
      </c>
      <c r="F11" s="5">
        <f>E11+C11</f>
        <v>819.2</v>
      </c>
      <c r="G11" s="4" t="s">
        <v>16</v>
      </c>
    </row>
    <row r="12" spans="1:7" ht="18.75" x14ac:dyDescent="0.3">
      <c r="A12" s="4"/>
      <c r="B12" s="4"/>
      <c r="C12" s="4"/>
      <c r="D12" s="4"/>
      <c r="E12" s="4"/>
      <c r="F12" s="4"/>
      <c r="G12" s="4"/>
    </row>
    <row r="13" spans="1:7" ht="18.75" x14ac:dyDescent="0.3">
      <c r="A13" s="4"/>
      <c r="B13" s="4"/>
      <c r="C13" s="4"/>
      <c r="D13" s="4"/>
      <c r="E13" s="4"/>
      <c r="F13" s="4"/>
      <c r="G13" s="4"/>
    </row>
    <row r="14" spans="1:7" ht="18.75" x14ac:dyDescent="0.3">
      <c r="A14" s="4"/>
      <c r="B14" s="4"/>
      <c r="C14" s="4"/>
      <c r="D14" s="4"/>
      <c r="E14" s="4"/>
      <c r="F14" s="4"/>
      <c r="G14" s="4"/>
    </row>
    <row r="15" spans="1:7" ht="18.75" x14ac:dyDescent="0.3">
      <c r="A15" s="4"/>
      <c r="B15" s="4"/>
      <c r="C15" s="4"/>
      <c r="D15" s="4"/>
      <c r="E15" s="4"/>
      <c r="F15" s="4"/>
      <c r="G15" s="4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Abdulkadir Güven</dc:creator>
  <cp:lastModifiedBy>Abdulkadir Güven</cp:lastModifiedBy>
  <dcterms:created xsi:type="dcterms:W3CDTF">2025-12-17T16:49:55Z</dcterms:created>
  <dcterms:modified xsi:type="dcterms:W3CDTF">2025-12-26T10:06:24Z</dcterms:modified>
</cp:coreProperties>
</file>